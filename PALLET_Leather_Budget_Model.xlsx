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Varsayımlar" sheetId="1" state="visible" r:id="rId1"/>
    <sheet name="📊 P&amp;L" sheetId="2" state="visible" r:id="rId2"/>
    <sheet name="📅 Yıl 1 — Aylı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C1A"/>
      <sz val="10"/>
    </font>
    <font>
      <name val="Calibri"/>
      <i val="1"/>
      <color rgb="00888888"/>
      <sz val="9"/>
    </font>
    <font>
      <name val="Calibri"/>
      <b val="1"/>
      <color rgb="00FFFFFF"/>
      <sz val="12"/>
    </font>
    <font>
      <name val="Calibri"/>
      <b val="1"/>
      <color rgb="008B0000"/>
      <sz val="10"/>
    </font>
  </fonts>
  <fills count="7">
    <fill>
      <patternFill/>
    </fill>
    <fill>
      <patternFill patternType="gray125"/>
    </fill>
    <fill>
      <patternFill patternType="solid">
        <fgColor rgb="001A1C1A"/>
      </patternFill>
    </fill>
    <fill>
      <patternFill patternType="solid">
        <fgColor rgb="008B4F2D"/>
      </patternFill>
    </fill>
    <fill>
      <patternFill patternType="solid">
        <fgColor rgb="00FFFFFF"/>
      </patternFill>
    </fill>
    <fill>
      <patternFill patternType="solid">
        <fgColor rgb="00F4F3F1"/>
      </patternFill>
    </fill>
    <fill>
      <patternFill patternType="solid">
        <fgColor rgb="00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indent="2"/>
    </xf>
    <xf numFmtId="3" fontId="4" fillId="4" borderId="0" applyAlignment="1" pivotButton="0" quotePrefix="0" xfId="0">
      <alignment horizontal="right"/>
    </xf>
    <xf numFmtId="0" fontId="4" fillId="5" borderId="0" applyAlignment="1" pivotButton="0" quotePrefix="0" xfId="0">
      <alignment indent="2"/>
    </xf>
    <xf numFmtId="3" fontId="4" fillId="5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0" fontId="5" fillId="0" borderId="0" pivotButton="0" quotePrefix="0" xfId="0"/>
    <xf numFmtId="0" fontId="3" fillId="3" borderId="0" applyAlignment="1" pivotButton="0" quotePrefix="0" xfId="0">
      <alignment indent="1"/>
    </xf>
    <xf numFmtId="164" fontId="3" fillId="3" borderId="0" applyAlignment="1" pivotButton="0" quotePrefix="0" xfId="0">
      <alignment horizontal="right"/>
    </xf>
    <xf numFmtId="0" fontId="3" fillId="6" borderId="0" applyAlignment="1" pivotButton="0" quotePrefix="0" xfId="0">
      <alignment indent="1"/>
    </xf>
    <xf numFmtId="164" fontId="3" fillId="6" borderId="0" applyAlignment="1" pivotButton="0" quotePrefix="0" xfId="0">
      <alignment horizontal="right"/>
    </xf>
    <xf numFmtId="0" fontId="3" fillId="2" borderId="0" applyAlignment="1" pivotButton="0" quotePrefix="0" xfId="0">
      <alignment indent="1"/>
    </xf>
    <xf numFmtId="164" fontId="3" fillId="2" borderId="0" applyAlignment="1" pivotButton="0" quotePrefix="0" xfId="0">
      <alignment horizontal="right"/>
    </xf>
    <xf numFmtId="165" fontId="4" fillId="5" borderId="0" applyAlignment="1" pivotButton="0" quotePrefix="0" xfId="0">
      <alignment horizontal="right"/>
    </xf>
    <xf numFmtId="164" fontId="6" fillId="2" borderId="0" applyAlignment="1" pivotButton="0" quotePrefix="0" xfId="0">
      <alignment horizontal="left" vertical="center" indent="1"/>
    </xf>
    <xf numFmtId="164" fontId="6" fillId="2" borderId="0" applyAlignment="1" pivotButton="0" quotePrefix="0" xfId="0">
      <alignment horizontal="right"/>
    </xf>
    <xf numFmtId="49" fontId="4" fillId="4" borderId="0" applyAlignment="1" pivotButton="0" quotePrefix="0" xfId="0">
      <alignment horizontal="left" indent="1"/>
    </xf>
    <xf numFmtId="164" fontId="7" fillId="4" borderId="0" applyAlignment="1" pivotButton="0" quotePrefix="0" xfId="0">
      <alignment horizontal="right"/>
    </xf>
    <xf numFmtId="49" fontId="4" fillId="5" borderId="0" applyAlignment="1" pivotButton="0" quotePrefix="0" xfId="0">
      <alignment horizontal="left" indent="1"/>
    </xf>
    <xf numFmtId="164" fontId="7" fillId="5" borderId="0" applyAlignment="1" pivotButton="0" quotePrefix="0" xfId="0">
      <alignment horizontal="right"/>
    </xf>
    <xf numFmtId="0" fontId="3" fillId="2" borderId="0" applyAlignment="1" pivotButton="0" quotePrefix="0" xfId="0">
      <alignment horizontal="left" indent="1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 ht="40" customHeight="1">
      <c r="A1" s="1" t="inlineStr">
        <is>
          <t>PALLET Leather — Model Varsayımları</t>
        </is>
      </c>
    </row>
    <row r="2">
      <c r="A2" s="2" t="inlineStr">
        <is>
          <t>Parametre</t>
        </is>
      </c>
      <c r="B2" s="2" t="inlineStr">
        <is>
          <t>Yıl 1</t>
        </is>
      </c>
      <c r="C2" s="2" t="inlineStr">
        <is>
          <t>Yıl 2</t>
        </is>
      </c>
      <c r="D2" s="2" t="inlineStr">
        <is>
          <t>Yıl 3</t>
        </is>
      </c>
    </row>
    <row r="3">
      <c r="A3" s="3" t="inlineStr">
        <is>
          <t>SATIŞ HACMİ</t>
        </is>
      </c>
    </row>
    <row r="4">
      <c r="A4" s="4" t="inlineStr">
        <is>
          <t>Yıllık satış (çift)</t>
        </is>
      </c>
      <c r="B4" s="5" t="n">
        <v>180</v>
      </c>
      <c r="C4" s="5" t="n">
        <v>360</v>
      </c>
      <c r="D4" s="5" t="n">
        <v>600</v>
      </c>
    </row>
    <row r="5">
      <c r="A5" s="6" t="inlineStr">
        <is>
          <t>Aylık ortalama (çift)</t>
        </is>
      </c>
      <c r="B5" s="7" t="n">
        <v>15</v>
      </c>
      <c r="C5" s="7" t="n">
        <v>30</v>
      </c>
      <c r="D5" s="7" t="n">
        <v>50</v>
      </c>
    </row>
    <row r="6">
      <c r="A6" s="3" t="inlineStr">
        <is>
          <t>FİYATLANDIRMA</t>
        </is>
      </c>
    </row>
    <row r="7">
      <c r="A7" s="4" t="inlineStr">
        <is>
          <t>Satış fiyatı / çift ($)</t>
        </is>
      </c>
      <c r="B7" s="8" t="n">
        <v>35</v>
      </c>
      <c r="C7" s="8" t="n">
        <v>40</v>
      </c>
      <c r="D7" s="8" t="n">
        <v>45</v>
      </c>
    </row>
    <row r="8">
      <c r="A8" s="6" t="inlineStr">
        <is>
          <t>Birim üretim maliyeti ($)</t>
        </is>
      </c>
      <c r="B8" s="9" t="n">
        <v>15</v>
      </c>
      <c r="C8" s="9" t="n">
        <v>15</v>
      </c>
      <c r="D8" s="9" t="n">
        <v>15</v>
      </c>
    </row>
    <row r="9">
      <c r="A9" s="4" t="inlineStr">
        <is>
          <t>Birim brüt kar ($)</t>
        </is>
      </c>
      <c r="B9" s="8">
        <f>C7-C8</f>
        <v/>
      </c>
      <c r="C9" s="8">
        <f>D7-D8</f>
        <v/>
      </c>
      <c r="D9" s="8">
        <f>E7-E8</f>
        <v/>
      </c>
    </row>
    <row r="10">
      <c r="A10" s="3" t="inlineStr">
        <is>
          <t>PAZARLAMA</t>
        </is>
      </c>
    </row>
    <row r="11">
      <c r="A11" s="4" t="inlineStr">
        <is>
          <t>Aylık pazarlama bütçesi ($)</t>
        </is>
      </c>
      <c r="B11" s="8" t="n">
        <v>500</v>
      </c>
      <c r="C11" s="8" t="n">
        <v>700</v>
      </c>
      <c r="D11" s="8" t="n">
        <v>1000</v>
      </c>
    </row>
    <row r="12">
      <c r="A12" s="6" t="inlineStr">
        <is>
          <t>Yıllık pazarlama bütçesi ($)</t>
        </is>
      </c>
      <c r="B12" s="9">
        <f>C11*12</f>
        <v/>
      </c>
      <c r="C12" s="9">
        <f>D11*12</f>
        <v/>
      </c>
      <c r="D12" s="9">
        <f>E11*12</f>
        <v/>
      </c>
    </row>
    <row r="13">
      <c r="A13" s="3" t="inlineStr">
        <is>
          <t>SABİT GİDERLER (AYLIK)</t>
        </is>
      </c>
    </row>
    <row r="14">
      <c r="A14" s="4" t="inlineStr">
        <is>
          <t>Depo / Kargo / Paketleme ($)</t>
        </is>
      </c>
      <c r="B14" s="8" t="n">
        <v>250</v>
      </c>
      <c r="C14" s="8" t="n">
        <v>250</v>
      </c>
      <c r="D14" s="8" t="n">
        <v>250</v>
      </c>
    </row>
    <row r="15">
      <c r="A15" s="6" t="inlineStr">
        <is>
          <t>Web, domain, araçlar ($)</t>
        </is>
      </c>
      <c r="B15" s="9" t="n">
        <v>50</v>
      </c>
      <c r="C15" s="9" t="n">
        <v>50</v>
      </c>
      <c r="D15" s="9" t="n">
        <v>100</v>
      </c>
    </row>
    <row r="16">
      <c r="A16" s="4" t="inlineStr">
        <is>
          <t>Muhasebe &amp; diğer ($)</t>
        </is>
      </c>
      <c r="B16" s="8" t="n">
        <v>100</v>
      </c>
      <c r="C16" s="8" t="n">
        <v>100</v>
      </c>
      <c r="D16" s="8" t="n">
        <v>100</v>
      </c>
    </row>
    <row r="18">
      <c r="A18" s="10" t="inlineStr">
        <is>
          <t>💡 Sarı hücrelerdeki değerleri değiştirerek tüm model otomatik güncellenir.</t>
        </is>
      </c>
    </row>
  </sheetData>
  <mergeCells count="5">
    <mergeCell ref="A1:D1"/>
    <mergeCell ref="A10:F10"/>
    <mergeCell ref="A13:F13"/>
    <mergeCell ref="A6:F6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40" customHeight="1">
      <c r="A1" s="1" t="inlineStr">
        <is>
          <t>PALLET Leather — Gelir Tablosu (3 Yıl)</t>
        </is>
      </c>
    </row>
    <row r="2">
      <c r="A2" s="2" t="inlineStr"/>
      <c r="B2" s="2" t="inlineStr">
        <is>
          <t>Yıl 1</t>
        </is>
      </c>
      <c r="C2" s="2" t="inlineStr">
        <is>
          <t>Yıl 2</t>
        </is>
      </c>
      <c r="D2" s="2" t="inlineStr">
        <is>
          <t>Yıl 3</t>
        </is>
      </c>
      <c r="E2" s="2" t="inlineStr">
        <is>
          <t>3 Yıl Toplam</t>
        </is>
      </c>
    </row>
    <row r="3">
      <c r="A3" s="3" t="inlineStr">
        <is>
          <t>GELİR</t>
        </is>
      </c>
    </row>
    <row r="4">
      <c r="A4" s="4" t="inlineStr">
        <is>
          <t>Satış adedi (çift)</t>
        </is>
      </c>
      <c r="B4" s="5">
        <f>'📋 Varsayımlar'!C4</f>
        <v/>
      </c>
      <c r="C4" s="5">
        <f>'📋 Varsayımlar'!D4</f>
        <v/>
      </c>
      <c r="D4" s="5">
        <f>'📋 Varsayımlar'!E4</f>
        <v/>
      </c>
      <c r="E4" s="5">
        <f>B4+C4+D4</f>
        <v/>
      </c>
    </row>
    <row r="5">
      <c r="A5" s="6" t="inlineStr">
        <is>
          <t>Ortalama satış fiyatı ($)</t>
        </is>
      </c>
      <c r="B5" s="9">
        <f>'📋 Varsayımlar'!C7</f>
        <v/>
      </c>
      <c r="C5" s="9">
        <f>'📋 Varsayımlar'!D7</f>
        <v/>
      </c>
      <c r="D5" s="9">
        <f>'📋 Varsayımlar'!E7</f>
        <v/>
      </c>
      <c r="E5" s="9">
        <f>AVERAGE(B5:D5)</f>
        <v/>
      </c>
    </row>
    <row r="6">
      <c r="A6" s="11" t="inlineStr">
        <is>
          <t>TOPLAM GELİR</t>
        </is>
      </c>
      <c r="B6" s="12">
        <f>B4*B5</f>
        <v/>
      </c>
      <c r="C6" s="12">
        <f>C4*C5</f>
        <v/>
      </c>
      <c r="D6" s="12">
        <f>D4*D5</f>
        <v/>
      </c>
      <c r="E6" s="12">
        <f>B6+C6+D6</f>
        <v/>
      </c>
    </row>
    <row r="7">
      <c r="A7" s="3" t="inlineStr">
        <is>
          <t>SATILAN MAL MALİYETİ (COGS)</t>
        </is>
      </c>
    </row>
    <row r="8">
      <c r="A8" s="4" t="inlineStr">
        <is>
          <t>Birim üretim maliyeti ($)</t>
        </is>
      </c>
      <c r="B8" s="8">
        <f>'📋 Varsayımlar'!C8</f>
        <v/>
      </c>
      <c r="C8" s="8">
        <f>'📋 Varsayımlar'!D8</f>
        <v/>
      </c>
      <c r="D8" s="8">
        <f>'📋 Varsayımlar'!E8</f>
        <v/>
      </c>
      <c r="E8" s="8">
        <f>AVERAGE(B8:D8)</f>
        <v/>
      </c>
    </row>
    <row r="9">
      <c r="A9" s="13" t="inlineStr">
        <is>
          <t>TOPLAM COGS</t>
        </is>
      </c>
      <c r="B9" s="14">
        <f>B4*B8</f>
        <v/>
      </c>
      <c r="C9" s="14">
        <f>C4*C8</f>
        <v/>
      </c>
      <c r="D9" s="14">
        <f>D4*D8</f>
        <v/>
      </c>
      <c r="E9" s="14">
        <f>B9+C9+D9</f>
        <v/>
      </c>
    </row>
    <row r="10">
      <c r="A10" s="15" t="inlineStr">
        <is>
          <t>BRÜT KAR</t>
        </is>
      </c>
      <c r="B10" s="16">
        <f>B6-B9</f>
        <v/>
      </c>
      <c r="C10" s="16">
        <f>C6-C9</f>
        <v/>
      </c>
      <c r="D10" s="16">
        <f>D6-D9</f>
        <v/>
      </c>
      <c r="E10" s="16">
        <f>B10+C10+D10</f>
        <v/>
      </c>
    </row>
    <row r="11">
      <c r="A11" s="6" t="inlineStr">
        <is>
          <t xml:space="preserve">  Brüt Marj (%)</t>
        </is>
      </c>
      <c r="B11" s="17">
        <f>IF(B6&gt;0,B10/B6*100,0)</f>
        <v/>
      </c>
      <c r="C11" s="17">
        <f>IF(C6&gt;0,C10/C6*100,0)</f>
        <v/>
      </c>
      <c r="D11" s="17">
        <f>IF(D6&gt;0,D10/D6*100,0)</f>
        <v/>
      </c>
      <c r="E11" s="17">
        <f>IF(E6&gt;0,E10/E6*100,0)</f>
        <v/>
      </c>
    </row>
    <row r="12">
      <c r="A12" s="3" t="inlineStr">
        <is>
          <t>OPERASYONEL GİDERLER</t>
        </is>
      </c>
    </row>
    <row r="13">
      <c r="A13" s="4" t="inlineStr">
        <is>
          <t>Pazarlama</t>
        </is>
      </c>
      <c r="B13" s="8">
        <f>'📋 Varsayımlar'!C12</f>
        <v/>
      </c>
      <c r="C13" s="8">
        <f>'📋 Varsayımlar'!D12</f>
        <v/>
      </c>
      <c r="D13" s="8">
        <f>'📋 Varsayımlar'!E12</f>
        <v/>
      </c>
      <c r="E13" s="8">
        <f>B13+C13+D13</f>
        <v/>
      </c>
    </row>
    <row r="14">
      <c r="A14" s="6" t="inlineStr">
        <is>
          <t>Depo / Kargo / Paketleme</t>
        </is>
      </c>
      <c r="B14" s="9">
        <f>'📋 Varsayımlar'!C14*12</f>
        <v/>
      </c>
      <c r="C14" s="9">
        <f>'📋 Varsayımlar'!D14*12</f>
        <v/>
      </c>
      <c r="D14" s="9">
        <f>'📋 Varsayımlar'!E14*12</f>
        <v/>
      </c>
      <c r="E14" s="9">
        <f>B14+C14+D14</f>
        <v/>
      </c>
    </row>
    <row r="15">
      <c r="A15" s="4" t="inlineStr">
        <is>
          <t>Web, domain, araçlar</t>
        </is>
      </c>
      <c r="B15" s="8">
        <f>'📋 Varsayımlar'!C15*12</f>
        <v/>
      </c>
      <c r="C15" s="8">
        <f>'📋 Varsayımlar'!D15*12</f>
        <v/>
      </c>
      <c r="D15" s="8">
        <f>'📋 Varsayımlar'!E15*12</f>
        <v/>
      </c>
      <c r="E15" s="8">
        <f>B15+C15+D15</f>
        <v/>
      </c>
    </row>
    <row r="16">
      <c r="A16" s="6" t="inlineStr">
        <is>
          <t>Muhasebe &amp; diğer</t>
        </is>
      </c>
      <c r="B16" s="9">
        <f>'📋 Varsayımlar'!C16*12</f>
        <v/>
      </c>
      <c r="C16" s="9">
        <f>'📋 Varsayımlar'!D16*12</f>
        <v/>
      </c>
      <c r="D16" s="9">
        <f>'📋 Varsayımlar'!E16*12</f>
        <v/>
      </c>
      <c r="E16" s="9">
        <f>B16+C16+D16</f>
        <v/>
      </c>
    </row>
    <row r="17">
      <c r="A17" s="13" t="inlineStr">
        <is>
          <t>TOPLAM GİDER</t>
        </is>
      </c>
      <c r="B17" s="14">
        <f>B13+B14+B15+B16</f>
        <v/>
      </c>
      <c r="C17" s="14">
        <f>C13+C14+C15+C16</f>
        <v/>
      </c>
      <c r="D17" s="14">
        <f>D13+D14+D15+D16</f>
        <v/>
      </c>
      <c r="E17" s="14">
        <f>E13+E14+E15+E16</f>
        <v/>
      </c>
    </row>
    <row r="18" ht="24" customHeight="1">
      <c r="A18" s="18" t="inlineStr">
        <is>
          <t>NET KAR / ZARAR</t>
        </is>
      </c>
      <c r="B18" s="19">
        <f>B10-B17</f>
        <v/>
      </c>
      <c r="C18" s="19">
        <f>C10-C17</f>
        <v/>
      </c>
      <c r="D18" s="19">
        <f>D10-D17</f>
        <v/>
      </c>
      <c r="E18" s="19">
        <f>E10-E17</f>
        <v/>
      </c>
    </row>
    <row r="19">
      <c r="A19" s="6" t="inlineStr">
        <is>
          <t xml:space="preserve">  Net Marj (%)</t>
        </is>
      </c>
      <c r="B19" s="17">
        <f>IF(B6&gt;0,B18/B6*100,0)</f>
        <v/>
      </c>
      <c r="C19" s="17">
        <f>IF(C6&gt;0,C18/C6*100,0)</f>
        <v/>
      </c>
      <c r="D19" s="17">
        <f>IF(D6&gt;0,D18/D6*100,0)</f>
        <v/>
      </c>
      <c r="E19" s="17">
        <f>IF(E6&gt;0,E18/E6*100,0)</f>
        <v/>
      </c>
    </row>
    <row r="20">
      <c r="A20" s="3" t="inlineStr">
        <is>
          <t>KÜMÜLATİF NAKİT POZİSYONU</t>
        </is>
      </c>
    </row>
    <row r="21">
      <c r="A21" s="4" t="inlineStr">
        <is>
          <t>Kümülatif Net</t>
        </is>
      </c>
      <c r="B21" s="8">
        <f>B18</f>
        <v/>
      </c>
      <c r="C21" s="8">
        <f>B21+C18</f>
        <v/>
      </c>
      <c r="D21" s="8">
        <f>C21+D18</f>
        <v/>
      </c>
      <c r="E21" s="8" t="inlineStr"/>
    </row>
    <row r="22">
      <c r="A22" s="3" t="inlineStr">
        <is>
          <t>BAŞABAŞ ANALİZİ</t>
        </is>
      </c>
    </row>
    <row r="23">
      <c r="A23" s="4" t="inlineStr">
        <is>
          <t>Başabaş (çift/ay)</t>
        </is>
      </c>
      <c r="B23" s="5">
        <f>ROUND((B13/12+B14/12+B15/12+B16/12)/(B5-B8),0)</f>
        <v/>
      </c>
      <c r="C23" s="5">
        <f>ROUND((C13/12+C14/12+C15/12+C16/12)/(C5-C8),0)</f>
        <v/>
      </c>
      <c r="D23" s="5">
        <f>ROUND((D13/12+D14/12+D15/12+D16/12)/(D5-D8),0)</f>
        <v/>
      </c>
      <c r="E23" s="5" t="inlineStr"/>
    </row>
  </sheetData>
  <mergeCells count="6">
    <mergeCell ref="A1:E1"/>
    <mergeCell ref="A22:F22"/>
    <mergeCell ref="A12:F12"/>
    <mergeCell ref="A3:F3"/>
    <mergeCell ref="A20:F20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PALLET Leather — Yıl 1 Aylık Döküm</t>
        </is>
      </c>
    </row>
    <row r="2">
      <c r="A2" s="2" t="inlineStr"/>
      <c r="B2" s="2" t="inlineStr">
        <is>
          <t>Satış (çift)</t>
        </is>
      </c>
      <c r="C2" s="2" t="inlineStr">
        <is>
          <t>Gelir</t>
        </is>
      </c>
      <c r="D2" s="2" t="inlineStr">
        <is>
          <t>COGS</t>
        </is>
      </c>
      <c r="E2" s="2" t="inlineStr">
        <is>
          <t>Brüt Kar</t>
        </is>
      </c>
      <c r="F2" s="2" t="inlineStr">
        <is>
          <t>Gider</t>
        </is>
      </c>
      <c r="G2" s="2" t="inlineStr">
        <is>
          <t>Net</t>
        </is>
      </c>
      <c r="H2" s="2" t="inlineStr">
        <is>
          <t>Kümülatif</t>
        </is>
      </c>
    </row>
    <row r="3">
      <c r="A3" s="20" t="inlineStr">
        <is>
          <t>Ay 1</t>
        </is>
      </c>
      <c r="B3" s="5" t="n">
        <v>3</v>
      </c>
      <c r="C3" s="8" t="n">
        <v>105</v>
      </c>
      <c r="D3" s="8" t="n">
        <v>45</v>
      </c>
      <c r="E3" s="8" t="n">
        <v>60</v>
      </c>
      <c r="F3" s="8" t="n">
        <v>900</v>
      </c>
      <c r="G3" s="21" t="n">
        <v>-840</v>
      </c>
      <c r="H3" s="21" t="n">
        <v>-840</v>
      </c>
    </row>
    <row r="4">
      <c r="A4" s="22" t="inlineStr">
        <is>
          <t>Ay 2</t>
        </is>
      </c>
      <c r="B4" s="7" t="n">
        <v>4</v>
      </c>
      <c r="C4" s="9" t="n">
        <v>140</v>
      </c>
      <c r="D4" s="9" t="n">
        <v>60</v>
      </c>
      <c r="E4" s="9" t="n">
        <v>80</v>
      </c>
      <c r="F4" s="9" t="n">
        <v>900</v>
      </c>
      <c r="G4" s="23" t="n">
        <v>-820</v>
      </c>
      <c r="H4" s="23" t="n">
        <v>-1660</v>
      </c>
    </row>
    <row r="5">
      <c r="A5" s="20" t="inlineStr">
        <is>
          <t>Ay 3</t>
        </is>
      </c>
      <c r="B5" s="5" t="n">
        <v>5</v>
      </c>
      <c r="C5" s="8" t="n">
        <v>175</v>
      </c>
      <c r="D5" s="8" t="n">
        <v>75</v>
      </c>
      <c r="E5" s="8" t="n">
        <v>100</v>
      </c>
      <c r="F5" s="8" t="n">
        <v>900</v>
      </c>
      <c r="G5" s="21" t="n">
        <v>-800</v>
      </c>
      <c r="H5" s="21" t="n">
        <v>-2460</v>
      </c>
    </row>
    <row r="6">
      <c r="A6" s="22" t="inlineStr">
        <is>
          <t>Ay 4</t>
        </is>
      </c>
      <c r="B6" s="7" t="n">
        <v>8</v>
      </c>
      <c r="C6" s="9" t="n">
        <v>280</v>
      </c>
      <c r="D6" s="9" t="n">
        <v>120</v>
      </c>
      <c r="E6" s="9" t="n">
        <v>160</v>
      </c>
      <c r="F6" s="9" t="n">
        <v>900</v>
      </c>
      <c r="G6" s="23" t="n">
        <v>-740</v>
      </c>
      <c r="H6" s="23" t="n">
        <v>-3200</v>
      </c>
    </row>
    <row r="7">
      <c r="A7" s="20" t="inlineStr">
        <is>
          <t>Ay 5</t>
        </is>
      </c>
      <c r="B7" s="5" t="n">
        <v>12</v>
      </c>
      <c r="C7" s="8" t="n">
        <v>420</v>
      </c>
      <c r="D7" s="8" t="n">
        <v>180</v>
      </c>
      <c r="E7" s="8" t="n">
        <v>240</v>
      </c>
      <c r="F7" s="8" t="n">
        <v>900</v>
      </c>
      <c r="G7" s="21" t="n">
        <v>-660</v>
      </c>
      <c r="H7" s="21" t="n">
        <v>-3860</v>
      </c>
    </row>
    <row r="8">
      <c r="A8" s="22" t="inlineStr">
        <is>
          <t>Ay 6</t>
        </is>
      </c>
      <c r="B8" s="7" t="n">
        <v>15</v>
      </c>
      <c r="C8" s="9" t="n">
        <v>525</v>
      </c>
      <c r="D8" s="9" t="n">
        <v>225</v>
      </c>
      <c r="E8" s="9" t="n">
        <v>300</v>
      </c>
      <c r="F8" s="9" t="n">
        <v>900</v>
      </c>
      <c r="G8" s="23" t="n">
        <v>-600</v>
      </c>
      <c r="H8" s="23" t="n">
        <v>-4460</v>
      </c>
    </row>
    <row r="9">
      <c r="A9" s="20" t="inlineStr">
        <is>
          <t>Ay 7</t>
        </is>
      </c>
      <c r="B9" s="5" t="n">
        <v>18</v>
      </c>
      <c r="C9" s="8" t="n">
        <v>630</v>
      </c>
      <c r="D9" s="8" t="n">
        <v>270</v>
      </c>
      <c r="E9" s="8" t="n">
        <v>360</v>
      </c>
      <c r="F9" s="8" t="n">
        <v>900</v>
      </c>
      <c r="G9" s="21" t="n">
        <v>-540</v>
      </c>
      <c r="H9" s="21" t="n">
        <v>-5000</v>
      </c>
    </row>
    <row r="10">
      <c r="A10" s="22" t="inlineStr">
        <is>
          <t>Ay 8</t>
        </is>
      </c>
      <c r="B10" s="7" t="n">
        <v>20</v>
      </c>
      <c r="C10" s="9" t="n">
        <v>700</v>
      </c>
      <c r="D10" s="9" t="n">
        <v>300</v>
      </c>
      <c r="E10" s="9" t="n">
        <v>400</v>
      </c>
      <c r="F10" s="9" t="n">
        <v>900</v>
      </c>
      <c r="G10" s="23" t="n">
        <v>-500</v>
      </c>
      <c r="H10" s="23" t="n">
        <v>-5500</v>
      </c>
    </row>
    <row r="11">
      <c r="A11" s="20" t="inlineStr">
        <is>
          <t>Ay 9</t>
        </is>
      </c>
      <c r="B11" s="5" t="n">
        <v>22</v>
      </c>
      <c r="C11" s="8" t="n">
        <v>770</v>
      </c>
      <c r="D11" s="8" t="n">
        <v>330</v>
      </c>
      <c r="E11" s="8" t="n">
        <v>440</v>
      </c>
      <c r="F11" s="8" t="n">
        <v>900</v>
      </c>
      <c r="G11" s="21" t="n">
        <v>-460</v>
      </c>
      <c r="H11" s="21" t="n">
        <v>-5960</v>
      </c>
    </row>
    <row r="12">
      <c r="A12" s="22" t="inlineStr">
        <is>
          <t>Ay 10</t>
        </is>
      </c>
      <c r="B12" s="7" t="n">
        <v>24</v>
      </c>
      <c r="C12" s="9" t="n">
        <v>840</v>
      </c>
      <c r="D12" s="9" t="n">
        <v>360</v>
      </c>
      <c r="E12" s="9" t="n">
        <v>480</v>
      </c>
      <c r="F12" s="9" t="n">
        <v>900</v>
      </c>
      <c r="G12" s="23" t="n">
        <v>-420</v>
      </c>
      <c r="H12" s="23" t="n">
        <v>-6380</v>
      </c>
    </row>
    <row r="13">
      <c r="A13" s="20" t="inlineStr">
        <is>
          <t>Ay 11</t>
        </is>
      </c>
      <c r="B13" s="5" t="n">
        <v>24</v>
      </c>
      <c r="C13" s="8" t="n">
        <v>840</v>
      </c>
      <c r="D13" s="8" t="n">
        <v>360</v>
      </c>
      <c r="E13" s="8" t="n">
        <v>480</v>
      </c>
      <c r="F13" s="8" t="n">
        <v>900</v>
      </c>
      <c r="G13" s="21" t="n">
        <v>-420</v>
      </c>
      <c r="H13" s="21" t="n">
        <v>-6800</v>
      </c>
    </row>
    <row r="14">
      <c r="A14" s="22" t="inlineStr">
        <is>
          <t>Ay 12</t>
        </is>
      </c>
      <c r="B14" s="7" t="n">
        <v>25</v>
      </c>
      <c r="C14" s="9" t="n">
        <v>875</v>
      </c>
      <c r="D14" s="9" t="n">
        <v>375</v>
      </c>
      <c r="E14" s="9" t="n">
        <v>500</v>
      </c>
      <c r="F14" s="9" t="n">
        <v>900</v>
      </c>
      <c r="G14" s="23" t="n">
        <v>-400</v>
      </c>
      <c r="H14" s="23" t="n">
        <v>-7200</v>
      </c>
    </row>
    <row r="15">
      <c r="A15" s="24" t="inlineStr">
        <is>
          <t>TOPLAM</t>
        </is>
      </c>
      <c r="B15" s="25" t="n">
        <v>180</v>
      </c>
      <c r="C15" s="16" t="n">
        <v>6300</v>
      </c>
      <c r="D15" s="16" t="n">
        <v>2700</v>
      </c>
      <c r="E15" s="16" t="n">
        <v>3600</v>
      </c>
      <c r="F15" s="16" t="n">
        <v>10800</v>
      </c>
      <c r="G15" s="16" t="n">
        <v>-7200</v>
      </c>
      <c r="H15" s="2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2026-04-06T08:13:10Z</dcterms:created>
  <dcterms:modified xsi:type="dcterms:W3CDTF">2026-04-06T08:13:10Z</dcterms:modified>
</cp:coreProperties>
</file>